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ti\Documents\Scuola\AA 2025-2026\Achitetture dei sistemi di elaborazione\00_MATERIAL\LABS\lab_04\"/>
    </mc:Choice>
  </mc:AlternateContent>
  <xr:revisionPtr revIDLastSave="0" documentId="13_ncr:1_{BF4B259A-C89F-40DD-A95D-3EE15B6ED4C9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" l="1"/>
  <c r="A51" i="1"/>
  <c r="A52" i="1"/>
  <c r="A55" i="1" l="1"/>
</calcChain>
</file>

<file path=xl/sharedStrings.xml><?xml version="1.0" encoding="utf-8"?>
<sst xmlns="http://schemas.openxmlformats.org/spreadsheetml/2006/main" count="344" uniqueCount="158">
  <si>
    <t>Count</t>
  </si>
  <si>
    <t>Disassembled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</si>
  <si>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</si>
  <si>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</si>
  <si>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</si>
  <si>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</si>
  <si>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</si>
  <si>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</si>
  <si>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</si>
  <si>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</si>
  <si>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</si>
  <si>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</si>
  <si>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</si>
  <si>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</si>
  <si>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</si>
  <si>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</si>
  <si>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</si>
  <si>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</si>
  <si>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</si>
  <si>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</si>
  <si>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</si>
  <si>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</si>
  <si>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</si>
  <si>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</si>
  <si>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</si>
  <si>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</si>
  <si>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</si>
  <si>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</si>
  <si>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</si>
  <si>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</si>
  <si>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</si>
  <si>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</si>
  <si>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</si>
  <si>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</si>
  <si>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</si>
  <si>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</si>
  <si>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</si>
  <si>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</si>
  <si>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</si>
  <si>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</si>
  <si>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</si>
  <si>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</si>
  <si>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</si>
  <si>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</si>
  <si>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</si>
  <si>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</si>
  <si>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</si>
  <si>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</si>
  <si>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</si>
  <si>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</si>
  <si>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</si>
  <si>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</si>
  <si>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</si>
  <si>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</si>
  <si>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</si>
  <si>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</si>
  <si>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</si>
  <si>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</si>
  <si>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</si>
  <si>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</si>
  <si>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</si>
  <si>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</si>
  <si>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</si>
  <si>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</si>
  <si>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</si>
  <si>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</si>
  <si>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</si>
  <si>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</si>
  <si>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</si>
  <si>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</si>
  <si>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</si>
  <si>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</si>
  <si>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</si>
  <si>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</si>
  <si>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</si>
  <si>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</si>
  <si>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</si>
  <si>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</si>
  <si>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</si>
  <si>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</si>
  <si>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</si>
  <si>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</si>
  <si>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</si>
  <si>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</si>
  <si>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</si>
  <si>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</si>
  <si>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</si>
  <si>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</si>
  <si>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</si>
  <si>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</si>
  <si>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</si>
  <si>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</si>
  <si>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</si>
  <si>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</si>
  <si>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</si>
  <si>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</si>
  <si>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</si>
  <si>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</si>
  <si>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</si>
  <si>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</si>
  <si>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</si>
  <si>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</si>
  <si>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.section .data</t>
  </si>
  <si>
    <t>i: .float 1.0, 2.0, 3.0, 4.0, 5.0, 6.0, 7.0, 8.0</t>
  </si>
  <si>
    <t>.float 9.0, 10.0, 11.0, 12.0, 13.0, 14.0, 15.0, 16.0</t>
  </si>
  <si>
    <t>w: .float 0.5, 0.5, 0.5, 0.5, 0.5, 0.5, 0.5, 0.5</t>
  </si>
  <si>
    <t>.float 0.5, 0.5, 0.5, 0.5, 0.5, 0.5, 0.5, 0.5</t>
  </si>
  <si>
    <t>b: .float 171.0</t>
  </si>
  <si>
    <t>y: .float 0.0</t>
  </si>
  <si>
    <t>T0: .word 0x0BADC0DE</t>
  </si>
  <si>
    <t>.section .text</t>
  </si>
  <si>
    <t>.globl _start</t>
  </si>
  <si>
    <t>_start: la x1, i</t>
  </si>
  <si>
    <t>flw fs1, 0(x1)</t>
  </si>
  <si>
    <t>la x1, w</t>
  </si>
  <si>
    <t>la x1, b</t>
  </si>
  <si>
    <t>la x1, y</t>
  </si>
  <si>
    <t>la x1, T0</t>
  </si>
  <si>
    <t>lw x2, 0(x1)</t>
  </si>
  <si>
    <t>Main: li x3, 16</t>
  </si>
  <si>
    <t>li x4, 0</t>
  </si>
  <si>
    <t>la x5, i</t>
  </si>
  <si>
    <t>la x6, w</t>
  </si>
  <si>
    <t>fmv.w.x fs0, zero</t>
  </si>
  <si>
    <t>sum_loop: flw fs1, 0(x5)</t>
  </si>
  <si>
    <t>flw fs2, 0(x6)</t>
  </si>
  <si>
    <t>fmul.s fs3, fs1, fs2</t>
  </si>
  <si>
    <t>fadd.s fs0, fs0, fs3</t>
  </si>
  <si>
    <t>addi x5, x5, 4</t>
  </si>
  <si>
    <t>addi x6, x6, 4</t>
  </si>
  <si>
    <t>addi x4, x4, 1</t>
  </si>
  <si>
    <t>blt x4, x3, sum_loop</t>
  </si>
  <si>
    <t>compute_activation: la x7, b</t>
  </si>
  <si>
    <t>flw fs4, 0(x7)</t>
  </si>
  <si>
    <t>fadd.s fs0, fs0, fs4</t>
  </si>
  <si>
    <t>fmv.x.w x8, fs0</t>
  </si>
  <si>
    <t>srli x9, x8, 23</t>
  </si>
  <si>
    <t>andi x9, x9, 0xFF</t>
  </si>
  <si>
    <t>li x10, 0xFF</t>
  </si>
  <si>
    <t>set_zero: fmv.w.x fs5, zero</t>
  </si>
  <si>
    <t>j store_result</t>
  </si>
  <si>
    <t>set_value: fmv.s fs5, fs0</t>
  </si>
  <si>
    <t>store_result: la x11, y</t>
  </si>
  <si>
    <t>fsw fs5, 0(x11)</t>
  </si>
  <si>
    <t>End: li a0, 0</t>
  </si>
  <si>
    <t>li a7, 93</t>
  </si>
  <si>
    <t>ecall</t>
  </si>
  <si>
    <t>F</t>
  </si>
  <si>
    <t>D</t>
  </si>
  <si>
    <t>E</t>
  </si>
  <si>
    <t>M</t>
  </si>
  <si>
    <t>W</t>
  </si>
  <si>
    <t>S</t>
  </si>
  <si>
    <t>A</t>
  </si>
  <si>
    <t>X</t>
  </si>
  <si>
    <t>2 + 1</t>
  </si>
  <si>
    <t>bne x9, x10, set_value</t>
  </si>
  <si>
    <t xml:space="preserve">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</si>
</sst>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2" fillId="3" borderId="2" xfId="0" applyFont="1" applyFill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55"/>
  <sheetViews>
    <sheetView tabSelected="1" zoomScale="72" workbookViewId="0">
      <pane xSplit="2" ySplit="1" topLeftCell="AS37" activePane="bottomRight" state="frozen"/>
      <selection pane="topRight"/>
      <selection pane="bottomLeft"/>
      <selection pane="bottomRight" activeCell="A52" sqref="A52"/>
    </sheetView>
  </sheetViews>
  <sheetFormatPr defaultRowHeight="14.5" x14ac:dyDescent="0.35"/>
  <cols>
    <col min="1" max="1" width="12" customWidth="1"/>
    <col min="2" max="2" width="63.08984375" customWidth="1"/>
  </cols>
  <sheetData>
    <row r="1" spans="1:102" ht="15" x14ac:dyDescent="0.35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ht="15" x14ac:dyDescent="0.4">
      <c r="A2" s="4">
        <v>0</v>
      </c>
      <c r="B2" s="5" t="s">
        <v>102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</row>
    <row r="3" spans="1:102" ht="15" x14ac:dyDescent="0.4">
      <c r="A3" s="4">
        <v>0</v>
      </c>
      <c r="B3" s="5" t="s">
        <v>103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</row>
    <row r="4" spans="1:102" ht="15" x14ac:dyDescent="0.4">
      <c r="A4" s="4">
        <v>0</v>
      </c>
      <c r="B4" s="5" t="s">
        <v>104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</row>
    <row r="5" spans="1:102" ht="15" x14ac:dyDescent="0.4">
      <c r="A5" s="4">
        <v>0</v>
      </c>
      <c r="B5" s="5" t="s">
        <v>105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</row>
    <row r="6" spans="1:102" ht="15" x14ac:dyDescent="0.4">
      <c r="A6" s="4">
        <v>0</v>
      </c>
      <c r="B6" s="5" t="s">
        <v>106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</row>
    <row r="7" spans="1:102" ht="15" x14ac:dyDescent="0.4">
      <c r="A7" s="4">
        <v>0</v>
      </c>
      <c r="B7" s="5" t="s">
        <v>107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</row>
    <row r="8" spans="1:102" ht="15" x14ac:dyDescent="0.4">
      <c r="A8" s="4">
        <v>0</v>
      </c>
      <c r="B8" s="5" t="s">
        <v>108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</row>
    <row r="9" spans="1:102" ht="15" x14ac:dyDescent="0.4">
      <c r="A9" s="4">
        <v>0</v>
      </c>
      <c r="B9" s="5" t="s">
        <v>109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</row>
    <row r="10" spans="1:102" ht="15" x14ac:dyDescent="0.4">
      <c r="A10" s="4">
        <v>0</v>
      </c>
      <c r="B10" s="5" t="s">
        <v>110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</row>
    <row r="11" spans="1:102" ht="15" x14ac:dyDescent="0.4">
      <c r="A11" s="4">
        <v>0</v>
      </c>
      <c r="B11" s="5" t="s">
        <v>111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</row>
    <row r="12" spans="1:102" ht="15" x14ac:dyDescent="0.4">
      <c r="A12" s="4">
        <v>0</v>
      </c>
      <c r="B12" s="5" t="s">
        <v>112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</row>
    <row r="13" spans="1:102" ht="15" x14ac:dyDescent="0.4">
      <c r="A13" s="4">
        <v>0</v>
      </c>
      <c r="B13" s="5" t="s">
        <v>113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</row>
    <row r="14" spans="1:102" ht="15" x14ac:dyDescent="0.4">
      <c r="A14" s="4">
        <v>0</v>
      </c>
      <c r="B14" s="5" t="s">
        <v>114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</row>
    <row r="15" spans="1:102" ht="15" x14ac:dyDescent="0.4">
      <c r="A15" s="4">
        <v>0</v>
      </c>
      <c r="B15" s="5" t="s">
        <v>113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</row>
    <row r="16" spans="1:102" ht="15" x14ac:dyDescent="0.4">
      <c r="A16" s="4">
        <v>0</v>
      </c>
      <c r="B16" s="5" t="s">
        <v>115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</row>
    <row r="17" spans="1:102" ht="15" x14ac:dyDescent="0.4">
      <c r="A17" s="4">
        <v>0</v>
      </c>
      <c r="B17" s="5" t="s">
        <v>113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</row>
    <row r="18" spans="1:102" ht="15" x14ac:dyDescent="0.4">
      <c r="A18" s="4">
        <v>0</v>
      </c>
      <c r="B18" s="5" t="s">
        <v>116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</row>
    <row r="19" spans="1:102" ht="15" x14ac:dyDescent="0.4">
      <c r="A19" s="4">
        <v>0</v>
      </c>
      <c r="B19" s="5" t="s">
        <v>113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</row>
    <row r="20" spans="1:102" ht="15" x14ac:dyDescent="0.4">
      <c r="A20" s="4">
        <v>0</v>
      </c>
      <c r="B20" s="5" t="s">
        <v>117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</row>
    <row r="21" spans="1:102" ht="15" x14ac:dyDescent="0.4">
      <c r="A21" s="4">
        <v>0</v>
      </c>
      <c r="B21" s="5" t="s">
        <v>118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</row>
    <row r="22" spans="1:102" ht="15" x14ac:dyDescent="0.4">
      <c r="A22" s="4">
        <v>5</v>
      </c>
      <c r="B22" s="5" t="s">
        <v>119</v>
      </c>
      <c r="C22" s="4" t="s">
        <v>147</v>
      </c>
      <c r="D22" s="4" t="s">
        <v>148</v>
      </c>
      <c r="E22" s="4" t="s">
        <v>149</v>
      </c>
      <c r="F22" s="4" t="s">
        <v>150</v>
      </c>
      <c r="G22" s="4" t="s">
        <v>151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</row>
    <row r="23" spans="1:102" ht="15" x14ac:dyDescent="0.4">
      <c r="A23" s="4">
        <v>1</v>
      </c>
      <c r="B23" s="5" t="s">
        <v>120</v>
      </c>
      <c r="C23" s="6"/>
      <c r="D23" s="6" t="s">
        <v>147</v>
      </c>
      <c r="E23" s="6" t="s">
        <v>148</v>
      </c>
      <c r="F23" s="6" t="s">
        <v>149</v>
      </c>
      <c r="G23" s="6" t="s">
        <v>150</v>
      </c>
      <c r="H23" s="6" t="s">
        <v>151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</row>
    <row r="24" spans="1:102" ht="15" x14ac:dyDescent="0.4">
      <c r="A24" s="4">
        <v>2</v>
      </c>
      <c r="B24" s="5" t="s">
        <v>121</v>
      </c>
      <c r="C24" s="4"/>
      <c r="D24" s="4"/>
      <c r="E24" s="4" t="s">
        <v>147</v>
      </c>
      <c r="F24" s="4" t="s">
        <v>148</v>
      </c>
      <c r="G24" s="4" t="s">
        <v>149</v>
      </c>
      <c r="H24" s="4" t="s">
        <v>150</v>
      </c>
      <c r="I24" s="4" t="s">
        <v>151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</row>
    <row r="25" spans="1:102" ht="15" x14ac:dyDescent="0.4">
      <c r="A25" s="4">
        <v>2</v>
      </c>
      <c r="B25" s="5" t="s">
        <v>122</v>
      </c>
      <c r="C25" s="6"/>
      <c r="D25" s="6"/>
      <c r="E25" s="6"/>
      <c r="F25" s="6" t="s">
        <v>147</v>
      </c>
      <c r="G25" s="6" t="s">
        <v>148</v>
      </c>
      <c r="H25" s="6" t="s">
        <v>149</v>
      </c>
      <c r="I25" s="6" t="s">
        <v>150</v>
      </c>
      <c r="J25" s="6" t="s">
        <v>151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</row>
    <row r="26" spans="1:102" ht="15" x14ac:dyDescent="0.4">
      <c r="A26" s="4">
        <v>4</v>
      </c>
      <c r="B26" s="5" t="s">
        <v>123</v>
      </c>
      <c r="C26" s="4"/>
      <c r="D26" s="4"/>
      <c r="E26" s="4"/>
      <c r="F26" s="4"/>
      <c r="G26" s="4" t="s">
        <v>147</v>
      </c>
      <c r="H26" s="4" t="s">
        <v>148</v>
      </c>
      <c r="I26" s="4" t="s">
        <v>153</v>
      </c>
      <c r="J26" s="4" t="s">
        <v>153</v>
      </c>
      <c r="K26" s="4" t="s">
        <v>153</v>
      </c>
      <c r="L26" s="4" t="s">
        <v>153</v>
      </c>
      <c r="M26" s="4" t="s">
        <v>150</v>
      </c>
      <c r="N26" s="4" t="s">
        <v>151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</row>
    <row r="27" spans="1:102" ht="15" x14ac:dyDescent="0.4">
      <c r="A27" s="4">
        <v>0</v>
      </c>
      <c r="B27" s="5" t="s">
        <v>124</v>
      </c>
      <c r="C27" s="6"/>
      <c r="D27" s="6"/>
      <c r="E27" s="6"/>
      <c r="F27" s="6"/>
      <c r="G27" s="6"/>
      <c r="H27" s="6" t="s">
        <v>147</v>
      </c>
      <c r="I27" s="6" t="s">
        <v>148</v>
      </c>
      <c r="J27" s="6" t="s">
        <v>149</v>
      </c>
      <c r="K27" s="6" t="s">
        <v>150</v>
      </c>
      <c r="L27" s="6" t="s">
        <v>151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</row>
    <row r="28" spans="1:102" ht="15" x14ac:dyDescent="0.4">
      <c r="A28" s="4">
        <v>0</v>
      </c>
      <c r="B28" s="5" t="s">
        <v>125</v>
      </c>
      <c r="C28" s="4"/>
      <c r="D28" s="4"/>
      <c r="E28" s="4"/>
      <c r="F28" s="4"/>
      <c r="G28" s="4"/>
      <c r="H28" s="4"/>
      <c r="I28" s="4" t="s">
        <v>147</v>
      </c>
      <c r="J28" s="4" t="s">
        <v>148</v>
      </c>
      <c r="K28" s="4" t="s">
        <v>149</v>
      </c>
      <c r="L28" s="4" t="s">
        <v>150</v>
      </c>
      <c r="M28" s="4" t="s">
        <v>151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</row>
    <row r="29" spans="1:102" ht="15" x14ac:dyDescent="0.4">
      <c r="A29" s="4">
        <v>9</v>
      </c>
      <c r="B29" s="5" t="s">
        <v>126</v>
      </c>
      <c r="C29" s="6"/>
      <c r="D29" s="6"/>
      <c r="E29" s="6"/>
      <c r="F29" s="6"/>
      <c r="G29" s="6"/>
      <c r="H29" s="6"/>
      <c r="I29" s="6"/>
      <c r="J29" s="6" t="s">
        <v>147</v>
      </c>
      <c r="K29" s="6" t="s">
        <v>148</v>
      </c>
      <c r="L29" s="6" t="s">
        <v>152</v>
      </c>
      <c r="M29" s="6" t="s">
        <v>154</v>
      </c>
      <c r="N29" s="6" t="s">
        <v>154</v>
      </c>
      <c r="O29" s="6" t="s">
        <v>154</v>
      </c>
      <c r="P29" s="6" t="s">
        <v>154</v>
      </c>
      <c r="Q29" s="6" t="s">
        <v>154</v>
      </c>
      <c r="R29" s="6" t="s">
        <v>154</v>
      </c>
      <c r="S29" s="6" t="s">
        <v>154</v>
      </c>
      <c r="T29" s="6" t="s">
        <v>154</v>
      </c>
      <c r="U29" s="6" t="s">
        <v>150</v>
      </c>
      <c r="V29" s="6" t="s">
        <v>151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</row>
    <row r="30" spans="1:102" ht="15" x14ac:dyDescent="0.4">
      <c r="A30" s="4">
        <v>4</v>
      </c>
      <c r="B30" s="5" t="s">
        <v>127</v>
      </c>
      <c r="C30" s="4"/>
      <c r="D30" s="4"/>
      <c r="E30" s="4"/>
      <c r="F30" s="4"/>
      <c r="G30" s="4"/>
      <c r="H30" s="4"/>
      <c r="I30" s="4"/>
      <c r="J30" s="4"/>
      <c r="K30" s="4" t="s">
        <v>147</v>
      </c>
      <c r="L30" s="4" t="s">
        <v>152</v>
      </c>
      <c r="M30" s="4" t="s">
        <v>148</v>
      </c>
      <c r="N30" s="4" t="s">
        <v>152</v>
      </c>
      <c r="O30" s="4" t="s">
        <v>152</v>
      </c>
      <c r="P30" s="4" t="s">
        <v>152</v>
      </c>
      <c r="Q30" s="4" t="s">
        <v>152</v>
      </c>
      <c r="R30" s="4" t="s">
        <v>152</v>
      </c>
      <c r="S30" s="4" t="s">
        <v>152</v>
      </c>
      <c r="T30" s="4" t="s">
        <v>152</v>
      </c>
      <c r="U30" s="4" t="s">
        <v>153</v>
      </c>
      <c r="V30" s="4" t="s">
        <v>153</v>
      </c>
      <c r="W30" s="4" t="s">
        <v>153</v>
      </c>
      <c r="X30" s="4" t="s">
        <v>153</v>
      </c>
      <c r="Y30" s="4" t="s">
        <v>150</v>
      </c>
      <c r="Z30" s="4" t="s">
        <v>151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</row>
    <row r="31" spans="1:102" ht="15" x14ac:dyDescent="0.4">
      <c r="A31" s="4">
        <v>0</v>
      </c>
      <c r="B31" s="5" t="s">
        <v>128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 t="s">
        <v>147</v>
      </c>
      <c r="N31" s="6" t="s">
        <v>152</v>
      </c>
      <c r="O31" s="6" t="s">
        <v>152</v>
      </c>
      <c r="P31" s="6" t="s">
        <v>152</v>
      </c>
      <c r="Q31" s="6" t="s">
        <v>152</v>
      </c>
      <c r="R31" s="6" t="s">
        <v>152</v>
      </c>
      <c r="S31" s="6" t="s">
        <v>152</v>
      </c>
      <c r="T31" s="6" t="s">
        <v>152</v>
      </c>
      <c r="U31" s="6" t="s">
        <v>148</v>
      </c>
      <c r="V31" s="6" t="s">
        <v>149</v>
      </c>
      <c r="W31" s="6" t="s">
        <v>150</v>
      </c>
      <c r="X31" s="6" t="s">
        <v>151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</row>
    <row r="32" spans="1:102" ht="15" x14ac:dyDescent="0.4">
      <c r="A32" s="4">
        <v>0</v>
      </c>
      <c r="B32" s="5" t="s">
        <v>129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147</v>
      </c>
      <c r="V32" s="4" t="s">
        <v>148</v>
      </c>
      <c r="W32" s="4" t="s">
        <v>149</v>
      </c>
      <c r="X32" s="4" t="s">
        <v>150</v>
      </c>
      <c r="Y32" s="4" t="s">
        <v>151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</row>
    <row r="33" spans="1:102" ht="15" x14ac:dyDescent="0.4">
      <c r="A33" s="4">
        <v>1</v>
      </c>
      <c r="B33" s="5" t="s">
        <v>130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 t="s">
        <v>147</v>
      </c>
      <c r="W33" s="6" t="s">
        <v>148</v>
      </c>
      <c r="X33" s="6" t="s">
        <v>149</v>
      </c>
      <c r="Y33" s="6" t="s">
        <v>152</v>
      </c>
      <c r="Z33" s="6" t="s">
        <v>150</v>
      </c>
      <c r="AA33" s="6" t="s">
        <v>151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</row>
    <row r="34" spans="1:102" ht="15" x14ac:dyDescent="0.4">
      <c r="A34" s="4" t="s">
        <v>155</v>
      </c>
      <c r="B34" s="5" t="s">
        <v>131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 t="s">
        <v>147</v>
      </c>
      <c r="X34" s="4" t="s">
        <v>148</v>
      </c>
      <c r="Y34" s="4" t="s">
        <v>152</v>
      </c>
      <c r="Z34" s="4" t="s">
        <v>149</v>
      </c>
      <c r="AA34" s="4" t="s">
        <v>150</v>
      </c>
      <c r="AB34" s="4" t="s">
        <v>151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</row>
    <row r="35" spans="1:102" ht="15" x14ac:dyDescent="0.4">
      <c r="A35" s="4">
        <v>2</v>
      </c>
      <c r="B35" s="5" t="s">
        <v>132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 t="s">
        <v>147</v>
      </c>
      <c r="Y35" s="6" t="s">
        <v>148</v>
      </c>
      <c r="Z35" s="6" t="s">
        <v>152</v>
      </c>
      <c r="AA35" s="6" t="s">
        <v>149</v>
      </c>
      <c r="AB35" s="6" t="s">
        <v>150</v>
      </c>
      <c r="AC35" s="6" t="s">
        <v>151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</row>
    <row r="36" spans="1:102" ht="15" x14ac:dyDescent="0.4">
      <c r="A36" s="4">
        <v>1</v>
      </c>
      <c r="B36" s="5" t="s">
        <v>133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 t="s">
        <v>147</v>
      </c>
      <c r="Z36" s="4" t="s">
        <v>152</v>
      </c>
      <c r="AA36" s="4" t="s">
        <v>148</v>
      </c>
      <c r="AB36" s="4" t="s">
        <v>149</v>
      </c>
      <c r="AC36" s="4" t="s">
        <v>150</v>
      </c>
      <c r="AD36" s="4" t="s">
        <v>151</v>
      </c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</row>
    <row r="37" spans="1:102" ht="15" x14ac:dyDescent="0.4">
      <c r="A37" s="4">
        <v>5</v>
      </c>
      <c r="B37" s="5" t="s">
        <v>134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 t="s">
        <v>147</v>
      </c>
      <c r="AB37" s="6" t="s">
        <v>148</v>
      </c>
      <c r="AC37" s="6" t="s">
        <v>152</v>
      </c>
      <c r="AD37" s="6" t="s">
        <v>153</v>
      </c>
      <c r="AE37" s="6" t="s">
        <v>153</v>
      </c>
      <c r="AF37" s="6" t="s">
        <v>153</v>
      </c>
      <c r="AG37" s="6" t="s">
        <v>153</v>
      </c>
      <c r="AH37" s="6" t="s">
        <v>150</v>
      </c>
      <c r="AI37" s="6" t="s">
        <v>151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</row>
    <row r="38" spans="1:102" ht="15" x14ac:dyDescent="0.4">
      <c r="A38" s="4">
        <v>4</v>
      </c>
      <c r="B38" s="5" t="s">
        <v>135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 t="s">
        <v>147</v>
      </c>
      <c r="AC38" s="4" t="s">
        <v>152</v>
      </c>
      <c r="AD38" s="4" t="s">
        <v>148</v>
      </c>
      <c r="AE38" s="4" t="s">
        <v>152</v>
      </c>
      <c r="AF38" s="4" t="s">
        <v>152</v>
      </c>
      <c r="AG38" s="4" t="s">
        <v>152</v>
      </c>
      <c r="AH38" s="4" t="s">
        <v>153</v>
      </c>
      <c r="AI38" s="4" t="s">
        <v>153</v>
      </c>
      <c r="AJ38" s="4" t="s">
        <v>153</v>
      </c>
      <c r="AK38" s="4" t="s">
        <v>153</v>
      </c>
      <c r="AL38" s="4" t="s">
        <v>150</v>
      </c>
      <c r="AM38" s="4" t="s">
        <v>151</v>
      </c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</row>
    <row r="39" spans="1:102" ht="15" x14ac:dyDescent="0.4">
      <c r="A39" s="4">
        <v>1</v>
      </c>
      <c r="B39" s="5" t="s">
        <v>136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 t="s">
        <v>147</v>
      </c>
      <c r="AE39" s="6" t="s">
        <v>152</v>
      </c>
      <c r="AF39" s="6" t="s">
        <v>152</v>
      </c>
      <c r="AG39" s="6" t="s">
        <v>152</v>
      </c>
      <c r="AH39" s="6" t="s">
        <v>148</v>
      </c>
      <c r="AI39" s="6" t="s">
        <v>152</v>
      </c>
      <c r="AJ39" s="6" t="s">
        <v>152</v>
      </c>
      <c r="AK39" s="6" t="s">
        <v>152</v>
      </c>
      <c r="AL39" s="6" t="s">
        <v>149</v>
      </c>
      <c r="AM39" s="6" t="s">
        <v>150</v>
      </c>
      <c r="AN39" s="6" t="s">
        <v>151</v>
      </c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</row>
    <row r="40" spans="1:102" ht="15" x14ac:dyDescent="0.4">
      <c r="A40" s="4">
        <v>1</v>
      </c>
      <c r="B40" s="5" t="s">
        <v>137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 t="s">
        <v>147</v>
      </c>
      <c r="AI40" s="4" t="s">
        <v>152</v>
      </c>
      <c r="AJ40" s="4" t="s">
        <v>152</v>
      </c>
      <c r="AK40" s="4" t="s">
        <v>152</v>
      </c>
      <c r="AL40" s="4" t="s">
        <v>148</v>
      </c>
      <c r="AM40" s="4" t="s">
        <v>149</v>
      </c>
      <c r="AN40" s="4" t="s">
        <v>150</v>
      </c>
      <c r="AO40" s="4" t="s">
        <v>151</v>
      </c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</row>
    <row r="41" spans="1:102" ht="15" x14ac:dyDescent="0.4">
      <c r="A41" s="4">
        <v>1</v>
      </c>
      <c r="B41" s="5" t="s">
        <v>138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 t="s">
        <v>147</v>
      </c>
      <c r="AM41" s="6" t="s">
        <v>148</v>
      </c>
      <c r="AN41" s="6" t="s">
        <v>149</v>
      </c>
      <c r="AO41" s="6" t="s">
        <v>150</v>
      </c>
      <c r="AP41" s="6" t="s">
        <v>151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</row>
    <row r="42" spans="1:102" ht="15" x14ac:dyDescent="0.4">
      <c r="A42" s="4" t="s">
        <v>155</v>
      </c>
      <c r="B42" s="5" t="s">
        <v>156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 t="s">
        <v>147</v>
      </c>
      <c r="AN42" s="4" t="s">
        <v>148</v>
      </c>
      <c r="AO42" s="4" t="s">
        <v>152</v>
      </c>
      <c r="AP42" s="4" t="s">
        <v>149</v>
      </c>
      <c r="AQ42" s="4" t="s">
        <v>150</v>
      </c>
      <c r="AR42" s="4" t="s">
        <v>151</v>
      </c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</row>
    <row r="43" spans="1:102" ht="15" x14ac:dyDescent="0.4">
      <c r="A43" s="4">
        <v>0</v>
      </c>
      <c r="B43" s="5" t="s">
        <v>139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</row>
    <row r="44" spans="1:102" ht="15" x14ac:dyDescent="0.4">
      <c r="A44" s="4">
        <v>0</v>
      </c>
      <c r="B44" s="5" t="s">
        <v>140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</row>
    <row r="45" spans="1:102" ht="15" x14ac:dyDescent="0.4">
      <c r="A45" s="4">
        <v>5</v>
      </c>
      <c r="B45" s="5" t="s">
        <v>141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 t="s">
        <v>147</v>
      </c>
      <c r="AQ45" s="6" t="s">
        <v>148</v>
      </c>
      <c r="AR45" s="6" t="s">
        <v>153</v>
      </c>
      <c r="AS45" s="6" t="s">
        <v>153</v>
      </c>
      <c r="AT45" s="6" t="s">
        <v>153</v>
      </c>
      <c r="AU45" s="6" t="s">
        <v>153</v>
      </c>
      <c r="AV45" s="6" t="s">
        <v>150</v>
      </c>
      <c r="AW45" s="6" t="s">
        <v>151</v>
      </c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</row>
    <row r="46" spans="1:102" ht="15" x14ac:dyDescent="0.4">
      <c r="A46" s="4">
        <v>0</v>
      </c>
      <c r="B46" s="5" t="s">
        <v>142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 t="s">
        <v>147</v>
      </c>
      <c r="AR46" s="4" t="s">
        <v>148</v>
      </c>
      <c r="AS46" s="4" t="s">
        <v>149</v>
      </c>
      <c r="AT46" s="4" t="s">
        <v>150</v>
      </c>
      <c r="AU46" s="4" t="s">
        <v>151</v>
      </c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</row>
    <row r="47" spans="1:102" ht="15" x14ac:dyDescent="0.4">
      <c r="A47" s="4">
        <v>1</v>
      </c>
      <c r="B47" s="5" t="s">
        <v>143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 t="s">
        <v>147</v>
      </c>
      <c r="AS47" s="6" t="s">
        <v>148</v>
      </c>
      <c r="AT47" s="6" t="s">
        <v>152</v>
      </c>
      <c r="AU47" s="6" t="s">
        <v>152</v>
      </c>
      <c r="AV47" s="6" t="s">
        <v>149</v>
      </c>
      <c r="AW47" s="6" t="s">
        <v>150</v>
      </c>
      <c r="AX47" s="6" t="s">
        <v>151</v>
      </c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</row>
    <row r="48" spans="1:102" ht="15" x14ac:dyDescent="0.4">
      <c r="A48" s="4">
        <v>1</v>
      </c>
      <c r="B48" s="5" t="s">
        <v>144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 t="s">
        <v>147</v>
      </c>
      <c r="AT48" s="4" t="s">
        <v>152</v>
      </c>
      <c r="AU48" s="4" t="s">
        <v>152</v>
      </c>
      <c r="AV48" s="4" t="s">
        <v>148</v>
      </c>
      <c r="AW48" s="4" t="s">
        <v>149</v>
      </c>
      <c r="AX48" s="4" t="s">
        <v>157</v>
      </c>
      <c r="AY48" s="4" t="s">
        <v>151</v>
      </c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</row>
    <row r="49" spans="1:102" ht="15" x14ac:dyDescent="0.4">
      <c r="A49" s="4">
        <v>1</v>
      </c>
      <c r="B49" s="5" t="s">
        <v>145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 t="s">
        <v>147</v>
      </c>
      <c r="AW49" s="6" t="s">
        <v>148</v>
      </c>
      <c r="AX49" s="6" t="s">
        <v>149</v>
      </c>
      <c r="AY49" s="6" t="s">
        <v>150</v>
      </c>
      <c r="AZ49" s="6" t="s">
        <v>151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r="50" spans="1:102" ht="15" x14ac:dyDescent="0.4">
      <c r="A50" s="4"/>
      <c r="B50" s="5" t="s">
        <v>146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</row>
    <row r="51" spans="1:102" x14ac:dyDescent="0.35">
      <c r="A51">
        <f>SUM(A22:A26)</f>
        <v>14</v>
      </c>
    </row>
    <row r="52" spans="1:102" x14ac:dyDescent="0.35">
      <c r="A52">
        <f>SUM(A27:A34)*16</f>
        <v>224</v>
      </c>
    </row>
    <row r="53" spans="1:102" x14ac:dyDescent="0.35">
      <c r="A53">
        <f>SUM(A35:A49)</f>
        <v>23</v>
      </c>
    </row>
    <row r="55" spans="1:102" x14ac:dyDescent="0.35">
      <c r="A55">
        <f>SUM(A51:A53)</f>
        <v>261</v>
      </c>
    </row>
  </sheetData>
  <conditionalFormatting sqref="C2:CX50">
    <cfRule type="containsText" dxfId="4" priority="1" operator="containsText" text="F">
      <formula>NOT(ISERROR(SEARCH("F",C2)))</formula>
    </cfRule>
    <cfRule type="containsText" dxfId="3" priority="2" operator="containsText" text="D">
      <formula>NOT(ISERROR(SEARCH("D",C2)))</formula>
    </cfRule>
    <cfRule type="containsText" dxfId="2" priority="3" operator="containsText" text="E">
      <formula>NOT(ISERROR(SEARCH("E",C2)))</formula>
    </cfRule>
    <cfRule type="containsText" dxfId="1" priority="4" operator="containsText" text="M">
      <formula>NOT(ISERROR(SEARCH("M",C2)))</formula>
    </cfRule>
    <cfRule type="containsText" dxfId="0" priority="5" operator="containsText" text="W">
      <formula>NOT(ISERROR(SEARCH("W",C2)))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Martini  Michela</cp:lastModifiedBy>
  <dcterms:created xsi:type="dcterms:W3CDTF">2025-11-05T10:59:49Z</dcterms:created>
  <dcterms:modified xsi:type="dcterms:W3CDTF">2025-11-05T14:40:53Z</dcterms:modified>
</cp:coreProperties>
</file>