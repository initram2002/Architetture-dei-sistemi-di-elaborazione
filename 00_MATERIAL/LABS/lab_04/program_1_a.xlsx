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ti\Documents\Scuola\AA 2025-2026\Achitetture dei sistemi di elaborazione\00_MATERIAL\LABS\lab_04\"/>
    </mc:Choice>
  </mc:AlternateContent>
  <xr:revisionPtr revIDLastSave="0" documentId="13_ncr:1_{76043601-50A2-4783-BD9B-D322038B15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1" l="1"/>
  <c r="A56" i="1"/>
  <c r="A22" i="1" a="1"/>
  <c r="A22" i="1" l="1"/>
  <c r="A55" i="1" s="1"/>
  <c r="A59" i="1" s="1"/>
</calcChain>
</file>

<file path=xl/sharedStrings.xml><?xml version="1.0" encoding="utf-8"?>
<sst xmlns="http://schemas.openxmlformats.org/spreadsheetml/2006/main" count="356" uniqueCount="159">
  <si>
    <t>Count</t>
  </si>
  <si>
    <t>Disassembled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</si>
  <si>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</si>
  <si>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</si>
  <si>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</si>
  <si>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</si>
  <si>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</si>
  <si>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</si>
  <si>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</si>
  <si>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</si>
  <si>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</si>
  <si>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</si>
  <si>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</si>
  <si>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</si>
  <si>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</si>
  <si>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</si>
  <si>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</si>
  <si>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</si>
  <si>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</si>
  <si>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</si>
  <si>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</si>
  <si>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</si>
  <si>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</si>
  <si>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</si>
  <si>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</si>
  <si>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</si>
  <si>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</si>
  <si>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</si>
  <si>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</si>
  <si>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</si>
  <si>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</si>
  <si>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</si>
  <si>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</si>
  <si>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</si>
  <si>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</si>
  <si>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</si>
  <si>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</si>
  <si>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</si>
  <si>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</si>
  <si>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</si>
  <si>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</si>
  <si>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</si>
  <si>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</si>
  <si>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</si>
  <si>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</si>
  <si>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</si>
  <si>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</si>
  <si>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</si>
  <si>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</si>
  <si>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</si>
  <si>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</si>
  <si>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</si>
  <si>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</si>
  <si>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</si>
  <si>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</si>
  <si>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</si>
  <si>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</si>
  <si>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</si>
  <si>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</si>
  <si>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</si>
  <si>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</si>
  <si>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</si>
  <si>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</si>
  <si>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</si>
  <si>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</si>
  <si>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</si>
  <si>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</si>
  <si>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</si>
  <si>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</si>
  <si>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</si>
  <si>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</si>
  <si>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</si>
  <si>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</si>
  <si>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</si>
  <si>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</si>
  <si>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</si>
  <si>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</si>
  <si>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</si>
  <si>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</si>
  <si>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</si>
  <si>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</si>
  <si>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</si>
  <si>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</si>
  <si>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</si>
  <si>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</si>
  <si>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</si>
  <si>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</si>
  <si>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</si>
  <si>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</si>
  <si>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</si>
  <si>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</si>
  <si>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</si>
  <si>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</si>
  <si>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</si>
  <si>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</si>
  <si>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</si>
  <si>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</si>
  <si>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</si>
  <si>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</si>
  <si>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</si>
  <si>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</si>
  <si>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</si>
  <si>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.section .data</t>
  </si>
  <si>
    <t>i: .float 1.0, 2.0, 3.0, 4.0, 5.0, 6.0, 7.0, 8.0</t>
  </si>
  <si>
    <t>.float 9.0, 10.0, 11.0, 12.0, 13.0, 14.0, 15.0, 16.0</t>
  </si>
  <si>
    <t>w: .float 0.5, 0.5, 0.5, 0.5, 0.5, 0.5, 0.5, 0.5</t>
  </si>
  <si>
    <t>.float 0.5, 0.5, 0.5, 0.5, 0.5, 0.5, 0.5, 0.5</t>
  </si>
  <si>
    <t>b: .float 171.0</t>
  </si>
  <si>
    <t>y: .float 0.0</t>
  </si>
  <si>
    <t>T0: .word 0x0BADC0DE</t>
  </si>
  <si>
    <t>.section .text</t>
  </si>
  <si>
    <t>.globl _start</t>
  </si>
  <si>
    <t>_start: la x1, i</t>
  </si>
  <si>
    <t>la x5, w</t>
  </si>
  <si>
    <t>flw fs1, 0(x1)</t>
  </si>
  <si>
    <t>la x6, b</t>
  </si>
  <si>
    <t>flw fs2, 0(x5)</t>
  </si>
  <si>
    <t>la x7, y</t>
  </si>
  <si>
    <t>flw fs3, 0(x6)</t>
  </si>
  <si>
    <t>la x1, T0</t>
  </si>
  <si>
    <t>flw fs4, 0(x7)</t>
  </si>
  <si>
    <t>lw x2, 0(x1)</t>
  </si>
  <si>
    <t>Main: li x3, 16</t>
  </si>
  <si>
    <t>la x5, i</t>
  </si>
  <si>
    <t>la x6, w</t>
  </si>
  <si>
    <t>li x4, 0</t>
  </si>
  <si>
    <t>flw fs1, 0(x5)</t>
  </si>
  <si>
    <t>flw fs2, 0(x6)</t>
  </si>
  <si>
    <t>fmv.w.x fs0, zero</t>
  </si>
  <si>
    <t>addi x5, x5, 4</t>
  </si>
  <si>
    <t>addi x6, x6, 4</t>
  </si>
  <si>
    <t>sum_loop: fmul.s fs3, fs1, fs2</t>
  </si>
  <si>
    <t>addi x4, x4, 1</t>
  </si>
  <si>
    <t>fadd.s fs0, fs0, fs3</t>
  </si>
  <si>
    <t>blt x4, x3, sum_loop</t>
  </si>
  <si>
    <t>compute_activation: la x7, b</t>
  </si>
  <si>
    <t>li x10, 0xFF</t>
  </si>
  <si>
    <t>fadd.s fs0, fs0, fs4</t>
  </si>
  <si>
    <t>fmv.x.w x8, fs0</t>
  </si>
  <si>
    <t>srli x9, x8, 23</t>
  </si>
  <si>
    <t>la x11, y</t>
  </si>
  <si>
    <t>andi x9, x9, 0xFF</t>
  </si>
  <si>
    <t>bne x9, x10, set_value</t>
  </si>
  <si>
    <t>set_zero: fmv.w.x fs5, zero</t>
  </si>
  <si>
    <t>j store_result</t>
  </si>
  <si>
    <t>set_value: fmv.s fs5, fs0</t>
  </si>
  <si>
    <t>store_result: fsw fs5, 0(x11)</t>
  </si>
  <si>
    <t>End: li a0, 0</t>
  </si>
  <si>
    <t>li a7, 93</t>
  </si>
  <si>
    <t>ecall</t>
  </si>
  <si>
    <t>F</t>
  </si>
  <si>
    <t>D</t>
  </si>
  <si>
    <t>E</t>
  </si>
  <si>
    <t>M</t>
  </si>
  <si>
    <t>W</t>
  </si>
  <si>
    <t>A</t>
  </si>
  <si>
    <t>S</t>
  </si>
  <si>
    <t>X</t>
  </si>
  <si>
    <t>2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</si>
</sst>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/>
    </xf>
    <xf numFmtId="0" fontId="2" fillId="3" borderId="2" xfId="0" applyFont="1" applyFill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59"/>
  <sheetViews>
    <sheetView tabSelected="1" workbookViewId="0">
      <pane xSplit="2" ySplit="1" topLeftCell="C42" activePane="bottomRight" state="frozen"/>
      <selection pane="topRight"/>
      <selection pane="bottomLeft"/>
      <selection pane="bottomRight" activeCell="A60" sqref="A60"/>
    </sheetView>
  </sheetViews>
  <sheetFormatPr defaultRowHeight="14.5" x14ac:dyDescent="0.35"/>
  <cols>
    <col min="1" max="1" width="12" customWidth="1"/>
    <col min="2" max="2" width="63.6328125" customWidth="1"/>
  </cols>
  <sheetData>
    <row r="1" spans="1:102" ht="15" x14ac:dyDescent="0.35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ht="15" x14ac:dyDescent="0.4">
      <c r="A2" s="4">
        <v>0</v>
      </c>
      <c r="B2" s="5" t="s">
        <v>102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</row>
    <row r="3" spans="1:102" ht="15" x14ac:dyDescent="0.4">
      <c r="A3" s="4">
        <v>0</v>
      </c>
      <c r="B3" s="5" t="s">
        <v>103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</row>
    <row r="4" spans="1:102" ht="15" x14ac:dyDescent="0.4">
      <c r="A4" s="4">
        <v>0</v>
      </c>
      <c r="B4" s="5" t="s">
        <v>104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</row>
    <row r="5" spans="1:102" ht="15" x14ac:dyDescent="0.4">
      <c r="A5" s="4">
        <v>0</v>
      </c>
      <c r="B5" s="5" t="s">
        <v>105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</row>
    <row r="6" spans="1:102" ht="15" x14ac:dyDescent="0.4">
      <c r="A6" s="4">
        <v>0</v>
      </c>
      <c r="B6" s="5" t="s">
        <v>106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</row>
    <row r="7" spans="1:102" ht="15" x14ac:dyDescent="0.4">
      <c r="A7" s="4">
        <v>0</v>
      </c>
      <c r="B7" s="5" t="s">
        <v>107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</row>
    <row r="8" spans="1:102" ht="15" x14ac:dyDescent="0.4">
      <c r="A8" s="4">
        <v>0</v>
      </c>
      <c r="B8" s="5" t="s">
        <v>108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</row>
    <row r="9" spans="1:102" ht="15" x14ac:dyDescent="0.4">
      <c r="A9" s="4">
        <v>0</v>
      </c>
      <c r="B9" s="5" t="s">
        <v>109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</row>
    <row r="10" spans="1:102" ht="15" x14ac:dyDescent="0.4">
      <c r="A10" s="4">
        <v>0</v>
      </c>
      <c r="B10" s="5" t="s">
        <v>110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</row>
    <row r="11" spans="1:102" ht="15" x14ac:dyDescent="0.4">
      <c r="A11" s="4">
        <v>0</v>
      </c>
      <c r="B11" s="5" t="s">
        <v>111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</row>
    <row r="12" spans="1:102" ht="15" x14ac:dyDescent="0.4">
      <c r="A12" s="4">
        <v>0</v>
      </c>
      <c r="B12" s="5" t="s">
        <v>112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</row>
    <row r="13" spans="1:102" ht="15" x14ac:dyDescent="0.4">
      <c r="A13" s="4">
        <v>0</v>
      </c>
      <c r="B13" s="5" t="s">
        <v>113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</row>
    <row r="14" spans="1:102" ht="15" x14ac:dyDescent="0.4">
      <c r="A14" s="4">
        <v>0</v>
      </c>
      <c r="B14" s="5" t="s">
        <v>114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</row>
    <row r="15" spans="1:102" ht="15" x14ac:dyDescent="0.4">
      <c r="A15" s="4">
        <v>0</v>
      </c>
      <c r="B15" s="5" t="s">
        <v>115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</row>
    <row r="16" spans="1:102" ht="15" x14ac:dyDescent="0.4">
      <c r="A16" s="4">
        <v>0</v>
      </c>
      <c r="B16" s="5" t="s">
        <v>116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</row>
    <row r="17" spans="1:102" ht="15" x14ac:dyDescent="0.4">
      <c r="A17" s="4">
        <v>0</v>
      </c>
      <c r="B17" s="5" t="s">
        <v>117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</row>
    <row r="18" spans="1:102" ht="15" x14ac:dyDescent="0.4">
      <c r="A18" s="4">
        <v>0</v>
      </c>
      <c r="B18" s="5" t="s">
        <v>118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</row>
    <row r="19" spans="1:102" ht="15" x14ac:dyDescent="0.4">
      <c r="A19" s="4">
        <v>0</v>
      </c>
      <c r="B19" s="5" t="s">
        <v>119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</row>
    <row r="20" spans="1:102" ht="15" x14ac:dyDescent="0.4">
      <c r="A20" s="4">
        <v>0</v>
      </c>
      <c r="B20" s="5" t="s">
        <v>120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</row>
    <row r="21" spans="1:102" ht="15" x14ac:dyDescent="0.4">
      <c r="A21" s="4">
        <v>0</v>
      </c>
      <c r="B21" s="5" t="s">
        <v>121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</row>
    <row r="22" spans="1:102" ht="15" x14ac:dyDescent="0.4">
      <c r="A22" s="4" t="str">
        <f t="array" aca="1" ref="A22" ca="1">IF(COUNTIF(C22:CX22,"W")=0, -1, INDIRECT(ADDRESS(1, MAX(IF(C22:CX22="W", COLUMN(C22:CX22), 0)), 4)))</f>
        <v>5</v>
      </c>
      <c r="B22" s="5" t="s">
        <v>122</v>
      </c>
      <c r="C22" s="4" t="s">
        <v>150</v>
      </c>
      <c r="D22" s="4" t="s">
        <v>151</v>
      </c>
      <c r="E22" s="4" t="s">
        <v>152</v>
      </c>
      <c r="F22" s="4" t="s">
        <v>153</v>
      </c>
      <c r="G22" s="4" t="s">
        <v>154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</row>
    <row r="23" spans="1:102" ht="15" x14ac:dyDescent="0.4">
      <c r="A23" s="4">
        <v>2</v>
      </c>
      <c r="B23" s="5" t="s">
        <v>123</v>
      </c>
      <c r="C23" s="6"/>
      <c r="D23" s="6" t="s">
        <v>150</v>
      </c>
      <c r="E23" s="6" t="s">
        <v>151</v>
      </c>
      <c r="F23" s="6" t="s">
        <v>152</v>
      </c>
      <c r="G23" s="6" t="s">
        <v>153</v>
      </c>
      <c r="H23" s="6" t="s">
        <v>154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</row>
    <row r="24" spans="1:102" ht="15" x14ac:dyDescent="0.4">
      <c r="A24" s="4">
        <v>2</v>
      </c>
      <c r="B24" s="5" t="s">
        <v>124</v>
      </c>
      <c r="C24" s="4"/>
      <c r="D24" s="4"/>
      <c r="E24" s="4" t="s">
        <v>150</v>
      </c>
      <c r="F24" s="4" t="s">
        <v>151</v>
      </c>
      <c r="G24" s="4" t="s">
        <v>152</v>
      </c>
      <c r="H24" s="4" t="s">
        <v>153</v>
      </c>
      <c r="I24" s="4" t="s">
        <v>154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</row>
    <row r="25" spans="1:102" ht="15" x14ac:dyDescent="0.4">
      <c r="A25" s="4">
        <v>1</v>
      </c>
      <c r="B25" s="5" t="s">
        <v>125</v>
      </c>
      <c r="C25" s="6"/>
      <c r="D25" s="6"/>
      <c r="E25" s="6"/>
      <c r="F25" s="6" t="s">
        <v>150</v>
      </c>
      <c r="G25" s="6" t="s">
        <v>151</v>
      </c>
      <c r="H25" s="6" t="s">
        <v>152</v>
      </c>
      <c r="I25" s="6" t="s">
        <v>153</v>
      </c>
      <c r="J25" s="6" t="s">
        <v>154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</row>
    <row r="26" spans="1:102" ht="15" x14ac:dyDescent="0.4">
      <c r="A26" s="4">
        <v>1</v>
      </c>
      <c r="B26" s="5" t="s">
        <v>126</v>
      </c>
      <c r="C26" s="4"/>
      <c r="D26" s="4"/>
      <c r="E26" s="4"/>
      <c r="F26" s="4"/>
      <c r="G26" s="4" t="s">
        <v>150</v>
      </c>
      <c r="H26" s="4" t="s">
        <v>151</v>
      </c>
      <c r="I26" s="4" t="s">
        <v>152</v>
      </c>
      <c r="J26" s="4" t="s">
        <v>153</v>
      </c>
      <c r="K26" s="4" t="s">
        <v>154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</row>
    <row r="27" spans="1:102" ht="15" x14ac:dyDescent="0.4">
      <c r="A27" s="4">
        <v>1</v>
      </c>
      <c r="B27" s="5" t="s">
        <v>127</v>
      </c>
      <c r="C27" s="6"/>
      <c r="D27" s="6"/>
      <c r="E27" s="6"/>
      <c r="F27" s="6"/>
      <c r="G27" s="6"/>
      <c r="H27" s="6" t="s">
        <v>150</v>
      </c>
      <c r="I27" s="6" t="s">
        <v>151</v>
      </c>
      <c r="J27" s="6" t="s">
        <v>152</v>
      </c>
      <c r="K27" s="6" t="s">
        <v>153</v>
      </c>
      <c r="L27" s="6" t="s">
        <v>154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</row>
    <row r="28" spans="1:102" ht="15" x14ac:dyDescent="0.4">
      <c r="A28" s="4">
        <v>4</v>
      </c>
      <c r="B28" s="5" t="s">
        <v>128</v>
      </c>
      <c r="C28" s="4"/>
      <c r="D28" s="4"/>
      <c r="E28" s="4"/>
      <c r="F28" s="4"/>
      <c r="G28" s="4"/>
      <c r="H28" s="4"/>
      <c r="I28" s="4" t="s">
        <v>150</v>
      </c>
      <c r="J28" s="4" t="s">
        <v>151</v>
      </c>
      <c r="K28" s="4" t="s">
        <v>155</v>
      </c>
      <c r="L28" s="4" t="s">
        <v>155</v>
      </c>
      <c r="M28" s="4" t="s">
        <v>155</v>
      </c>
      <c r="N28" s="4" t="s">
        <v>155</v>
      </c>
      <c r="O28" s="4" t="s">
        <v>153</v>
      </c>
      <c r="P28" s="4" t="s">
        <v>154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</row>
    <row r="29" spans="1:102" ht="15" x14ac:dyDescent="0.4">
      <c r="A29" s="4">
        <v>0</v>
      </c>
      <c r="B29" s="5" t="s">
        <v>129</v>
      </c>
      <c r="C29" s="6"/>
      <c r="D29" s="6"/>
      <c r="E29" s="6"/>
      <c r="F29" s="6"/>
      <c r="G29" s="6"/>
      <c r="H29" s="6"/>
      <c r="I29" s="6"/>
      <c r="J29" s="6" t="s">
        <v>150</v>
      </c>
      <c r="K29" s="6" t="s">
        <v>151</v>
      </c>
      <c r="L29" s="6" t="s">
        <v>152</v>
      </c>
      <c r="M29" s="6" t="s">
        <v>153</v>
      </c>
      <c r="N29" s="6" t="s">
        <v>154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</row>
    <row r="30" spans="1:102" ht="15" x14ac:dyDescent="0.4">
      <c r="A30" s="4">
        <v>0</v>
      </c>
      <c r="B30" s="5" t="s">
        <v>130</v>
      </c>
      <c r="C30" s="4"/>
      <c r="D30" s="4"/>
      <c r="E30" s="4"/>
      <c r="F30" s="4"/>
      <c r="G30" s="4"/>
      <c r="H30" s="4"/>
      <c r="I30" s="4"/>
      <c r="J30" s="4"/>
      <c r="K30" s="4" t="s">
        <v>150</v>
      </c>
      <c r="L30" s="4" t="s">
        <v>151</v>
      </c>
      <c r="M30" s="4" t="s">
        <v>152</v>
      </c>
      <c r="N30" s="4" t="s">
        <v>153</v>
      </c>
      <c r="O30" s="4" t="s">
        <v>154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</row>
    <row r="31" spans="1:102" ht="15" x14ac:dyDescent="0.4">
      <c r="A31" s="4">
        <v>8</v>
      </c>
      <c r="B31" s="5" t="s">
        <v>131</v>
      </c>
      <c r="C31" s="6"/>
      <c r="D31" s="6"/>
      <c r="E31" s="6"/>
      <c r="F31" s="6"/>
      <c r="G31" s="6"/>
      <c r="H31" s="6"/>
      <c r="I31" s="6"/>
      <c r="J31" s="6"/>
      <c r="K31" s="6"/>
      <c r="L31" s="6" t="s">
        <v>150</v>
      </c>
      <c r="M31" s="6" t="s">
        <v>151</v>
      </c>
      <c r="N31" s="6" t="s">
        <v>157</v>
      </c>
      <c r="O31" s="6" t="s">
        <v>157</v>
      </c>
      <c r="P31" s="6" t="s">
        <v>157</v>
      </c>
      <c r="Q31" s="6" t="s">
        <v>157</v>
      </c>
      <c r="R31" s="6" t="s">
        <v>157</v>
      </c>
      <c r="S31" s="6" t="s">
        <v>157</v>
      </c>
      <c r="T31" s="6" t="s">
        <v>157</v>
      </c>
      <c r="U31" s="6" t="s">
        <v>157</v>
      </c>
      <c r="V31" s="6" t="s">
        <v>153</v>
      </c>
      <c r="W31" s="6" t="s">
        <v>154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</row>
    <row r="32" spans="1:102" ht="15" x14ac:dyDescent="0.4">
      <c r="A32" s="4">
        <v>0</v>
      </c>
      <c r="B32" s="5" t="s">
        <v>126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 t="s">
        <v>150</v>
      </c>
      <c r="N32" s="4" t="s">
        <v>151</v>
      </c>
      <c r="O32" s="4" t="s">
        <v>152</v>
      </c>
      <c r="P32" s="4" t="s">
        <v>153</v>
      </c>
      <c r="Q32" s="4" t="s">
        <v>154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</row>
    <row r="33" spans="1:102" ht="15" x14ac:dyDescent="0.4">
      <c r="A33" s="4">
        <v>0</v>
      </c>
      <c r="B33" s="5" t="s">
        <v>127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 t="s">
        <v>150</v>
      </c>
      <c r="O33" s="6" t="s">
        <v>151</v>
      </c>
      <c r="P33" s="6" t="s">
        <v>152</v>
      </c>
      <c r="Q33" s="6" t="s">
        <v>153</v>
      </c>
      <c r="R33" s="6" t="s">
        <v>154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</row>
    <row r="34" spans="1:102" ht="15" x14ac:dyDescent="0.4">
      <c r="A34" s="4">
        <v>0</v>
      </c>
      <c r="B34" s="5" t="s">
        <v>132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 t="s">
        <v>150</v>
      </c>
      <c r="P34" s="4" t="s">
        <v>151</v>
      </c>
      <c r="Q34" s="4" t="s">
        <v>152</v>
      </c>
      <c r="R34" s="4" t="s">
        <v>153</v>
      </c>
      <c r="S34" s="4" t="s">
        <v>154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</row>
    <row r="35" spans="1:102" ht="15" x14ac:dyDescent="0.4">
      <c r="A35" s="4">
        <v>0</v>
      </c>
      <c r="B35" s="5" t="s">
        <v>129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 t="s">
        <v>150</v>
      </c>
      <c r="Q35" s="6" t="s">
        <v>151</v>
      </c>
      <c r="R35" s="6" t="s">
        <v>152</v>
      </c>
      <c r="S35" s="6" t="s">
        <v>153</v>
      </c>
      <c r="T35" s="6" t="s">
        <v>154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</row>
    <row r="36" spans="1:102" ht="15" x14ac:dyDescent="0.4">
      <c r="A36" s="4">
        <v>0</v>
      </c>
      <c r="B36" s="5" t="s">
        <v>130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 t="s">
        <v>150</v>
      </c>
      <c r="R36" s="4" t="s">
        <v>151</v>
      </c>
      <c r="S36" s="4" t="s">
        <v>152</v>
      </c>
      <c r="T36" s="4" t="s">
        <v>153</v>
      </c>
      <c r="U36" s="4" t="s">
        <v>154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</row>
    <row r="37" spans="1:102" ht="15" x14ac:dyDescent="0.4">
      <c r="A37" s="4">
        <v>4</v>
      </c>
      <c r="B37" s="5" t="s">
        <v>133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 t="s">
        <v>150</v>
      </c>
      <c r="S37" s="6" t="s">
        <v>151</v>
      </c>
      <c r="T37" s="6" t="s">
        <v>156</v>
      </c>
      <c r="U37" s="6" t="s">
        <v>156</v>
      </c>
      <c r="V37" s="6" t="s">
        <v>155</v>
      </c>
      <c r="W37" s="6" t="s">
        <v>155</v>
      </c>
      <c r="X37" s="6" t="s">
        <v>155</v>
      </c>
      <c r="Y37" s="6" t="s">
        <v>155</v>
      </c>
      <c r="Z37" s="6" t="s">
        <v>153</v>
      </c>
      <c r="AA37" s="6" t="s">
        <v>154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</row>
    <row r="38" spans="1:102" ht="15" x14ac:dyDescent="0.4">
      <c r="A38" s="4" t="s">
        <v>158</v>
      </c>
      <c r="B38" s="5" t="s">
        <v>134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 t="s">
        <v>150</v>
      </c>
      <c r="T38" s="4" t="s">
        <v>156</v>
      </c>
      <c r="U38" s="4" t="s">
        <v>156</v>
      </c>
      <c r="V38" s="4" t="s">
        <v>151</v>
      </c>
      <c r="W38" s="4" t="s">
        <v>152</v>
      </c>
      <c r="X38" s="4" t="s">
        <v>153</v>
      </c>
      <c r="Y38" s="4" t="s">
        <v>154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</row>
    <row r="39" spans="1:102" ht="15" x14ac:dyDescent="0.4">
      <c r="A39" s="4">
        <v>0</v>
      </c>
      <c r="B39" s="5" t="s">
        <v>135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 t="s">
        <v>150</v>
      </c>
      <c r="W39" s="6" t="s">
        <v>151</v>
      </c>
      <c r="X39" s="6" t="s">
        <v>152</v>
      </c>
      <c r="Y39" s="6" t="s">
        <v>153</v>
      </c>
      <c r="Z39" s="6" t="s">
        <v>154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</row>
    <row r="40" spans="1:102" ht="15" x14ac:dyDescent="0.4">
      <c r="A40" s="4">
        <v>1</v>
      </c>
      <c r="B40" s="5" t="s">
        <v>136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 t="s">
        <v>150</v>
      </c>
      <c r="X40" s="4" t="s">
        <v>151</v>
      </c>
      <c r="Y40" s="4" t="s">
        <v>152</v>
      </c>
      <c r="Z40" s="4" t="s">
        <v>156</v>
      </c>
      <c r="AA40" s="4" t="s">
        <v>153</v>
      </c>
      <c r="AB40" s="4" t="s">
        <v>154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</row>
    <row r="41" spans="1:102" ht="15" x14ac:dyDescent="0.4">
      <c r="A41" s="4">
        <v>1</v>
      </c>
      <c r="B41" s="5" t="s">
        <v>120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 t="s">
        <v>150</v>
      </c>
      <c r="Y41" s="6" t="s">
        <v>151</v>
      </c>
      <c r="Z41" s="6" t="s">
        <v>152</v>
      </c>
      <c r="AA41" s="6" t="s">
        <v>156</v>
      </c>
      <c r="AB41" s="6" t="s">
        <v>153</v>
      </c>
      <c r="AC41" s="6" t="s">
        <v>154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</row>
    <row r="42" spans="1:102" ht="15" x14ac:dyDescent="0.4">
      <c r="A42" s="4">
        <v>4</v>
      </c>
      <c r="B42" s="5" t="s">
        <v>137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 t="s">
        <v>150</v>
      </c>
      <c r="Z42" s="4" t="s">
        <v>151</v>
      </c>
      <c r="AA42" s="4" t="s">
        <v>156</v>
      </c>
      <c r="AB42" s="4" t="s">
        <v>155</v>
      </c>
      <c r="AC42" s="4" t="s">
        <v>155</v>
      </c>
      <c r="AD42" s="4" t="s">
        <v>155</v>
      </c>
      <c r="AE42" s="4" t="s">
        <v>155</v>
      </c>
      <c r="AF42" s="4" t="s">
        <v>153</v>
      </c>
      <c r="AG42" s="4" t="s">
        <v>154</v>
      </c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</row>
    <row r="43" spans="1:102" ht="15" x14ac:dyDescent="0.4">
      <c r="A43" s="4">
        <v>4</v>
      </c>
      <c r="B43" s="5" t="s">
        <v>138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 t="s">
        <v>150</v>
      </c>
      <c r="AA43" s="6" t="s">
        <v>156</v>
      </c>
      <c r="AB43" s="6" t="s">
        <v>151</v>
      </c>
      <c r="AC43" s="6" t="s">
        <v>156</v>
      </c>
      <c r="AD43" s="6" t="s">
        <v>156</v>
      </c>
      <c r="AE43" s="6" t="s">
        <v>156</v>
      </c>
      <c r="AF43" s="6" t="s">
        <v>155</v>
      </c>
      <c r="AG43" s="6" t="s">
        <v>155</v>
      </c>
      <c r="AH43" s="6" t="s">
        <v>155</v>
      </c>
      <c r="AI43" s="6" t="s">
        <v>155</v>
      </c>
      <c r="AJ43" s="6" t="s">
        <v>153</v>
      </c>
      <c r="AK43" s="6" t="s">
        <v>154</v>
      </c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</row>
    <row r="44" spans="1:102" ht="15" x14ac:dyDescent="0.4">
      <c r="A44" s="4">
        <v>1</v>
      </c>
      <c r="B44" s="5" t="s">
        <v>139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 t="s">
        <v>150</v>
      </c>
      <c r="AC44" s="4" t="s">
        <v>156</v>
      </c>
      <c r="AD44" s="4" t="s">
        <v>156</v>
      </c>
      <c r="AE44" s="4" t="s">
        <v>156</v>
      </c>
      <c r="AF44" s="4" t="s">
        <v>151</v>
      </c>
      <c r="AG44" s="4" t="s">
        <v>156</v>
      </c>
      <c r="AH44" s="4" t="s">
        <v>156</v>
      </c>
      <c r="AI44" s="4" t="s">
        <v>156</v>
      </c>
      <c r="AJ44" s="4" t="s">
        <v>152</v>
      </c>
      <c r="AK44" s="4" t="s">
        <v>153</v>
      </c>
      <c r="AL44" s="4" t="s">
        <v>154</v>
      </c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</row>
    <row r="45" spans="1:102" ht="15" x14ac:dyDescent="0.4">
      <c r="A45" s="4">
        <v>1</v>
      </c>
      <c r="B45" s="5" t="s">
        <v>140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 t="s">
        <v>150</v>
      </c>
      <c r="AG45" s="6" t="s">
        <v>156</v>
      </c>
      <c r="AH45" s="6" t="s">
        <v>156</v>
      </c>
      <c r="AI45" s="6" t="s">
        <v>156</v>
      </c>
      <c r="AJ45" s="6" t="s">
        <v>151</v>
      </c>
      <c r="AK45" s="6" t="s">
        <v>152</v>
      </c>
      <c r="AL45" s="6" t="s">
        <v>153</v>
      </c>
      <c r="AM45" s="6" t="s">
        <v>154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</row>
    <row r="46" spans="1:102" ht="15" x14ac:dyDescent="0.4">
      <c r="A46" s="4">
        <v>1</v>
      </c>
      <c r="B46" s="5" t="s">
        <v>141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 t="s">
        <v>150</v>
      </c>
      <c r="AK46" s="4" t="s">
        <v>151</v>
      </c>
      <c r="AL46" s="4" t="s">
        <v>152</v>
      </c>
      <c r="AM46" s="4" t="s">
        <v>153</v>
      </c>
      <c r="AN46" s="4" t="s">
        <v>154</v>
      </c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</row>
    <row r="47" spans="1:102" ht="15" x14ac:dyDescent="0.4">
      <c r="A47" s="4" t="s">
        <v>158</v>
      </c>
      <c r="B47" s="5" t="s">
        <v>142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 t="s">
        <v>150</v>
      </c>
      <c r="AL47" s="6" t="s">
        <v>151</v>
      </c>
      <c r="AM47" s="6" t="s">
        <v>156</v>
      </c>
      <c r="AN47" s="6" t="s">
        <v>152</v>
      </c>
      <c r="AO47" s="6" t="s">
        <v>153</v>
      </c>
      <c r="AP47" s="6" t="s">
        <v>154</v>
      </c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</row>
    <row r="48" spans="1:102" ht="15" x14ac:dyDescent="0.4">
      <c r="A48" s="4">
        <v>0</v>
      </c>
      <c r="B48" s="5" t="s">
        <v>143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</row>
    <row r="49" spans="1:102" ht="15" x14ac:dyDescent="0.4">
      <c r="A49" s="4">
        <v>0</v>
      </c>
      <c r="B49" s="5" t="s">
        <v>144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</row>
    <row r="50" spans="1:102" ht="15" x14ac:dyDescent="0.4">
      <c r="A50" s="4">
        <v>5</v>
      </c>
      <c r="B50" s="5" t="s">
        <v>145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 t="s">
        <v>150</v>
      </c>
      <c r="AO50" s="4" t="s">
        <v>151</v>
      </c>
      <c r="AP50" s="4" t="s">
        <v>155</v>
      </c>
      <c r="AQ50" s="4" t="s">
        <v>155</v>
      </c>
      <c r="AR50" s="4" t="s">
        <v>155</v>
      </c>
      <c r="AS50" s="4" t="s">
        <v>155</v>
      </c>
      <c r="AT50" s="4" t="s">
        <v>153</v>
      </c>
      <c r="AU50" s="4" t="s">
        <v>154</v>
      </c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</row>
    <row r="51" spans="1:102" ht="15" x14ac:dyDescent="0.4">
      <c r="A51" s="4">
        <v>1</v>
      </c>
      <c r="B51" s="5" t="s">
        <v>146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 t="s">
        <v>150</v>
      </c>
      <c r="AP51" s="6" t="s">
        <v>151</v>
      </c>
      <c r="AQ51" s="6" t="s">
        <v>156</v>
      </c>
      <c r="AR51" s="6" t="s">
        <v>156</v>
      </c>
      <c r="AS51" s="6" t="s">
        <v>156</v>
      </c>
      <c r="AT51" s="6" t="s">
        <v>152</v>
      </c>
      <c r="AU51" s="6" t="s">
        <v>153</v>
      </c>
      <c r="AV51" s="6" t="s">
        <v>154</v>
      </c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</row>
    <row r="52" spans="1:102" ht="15" x14ac:dyDescent="0.4">
      <c r="A52" s="4">
        <v>1</v>
      </c>
      <c r="B52" s="5" t="s">
        <v>147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 t="s">
        <v>150</v>
      </c>
      <c r="AQ52" s="4" t="s">
        <v>156</v>
      </c>
      <c r="AR52" s="4" t="s">
        <v>156</v>
      </c>
      <c r="AS52" s="4" t="s">
        <v>156</v>
      </c>
      <c r="AT52" s="4" t="s">
        <v>151</v>
      </c>
      <c r="AU52" s="4" t="s">
        <v>152</v>
      </c>
      <c r="AV52" s="4" t="s">
        <v>153</v>
      </c>
      <c r="AW52" s="4" t="s">
        <v>154</v>
      </c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</row>
    <row r="53" spans="1:102" ht="15" x14ac:dyDescent="0.4">
      <c r="A53" s="4">
        <v>1</v>
      </c>
      <c r="B53" s="5" t="s">
        <v>148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 t="s">
        <v>150</v>
      </c>
      <c r="AU53" s="6" t="s">
        <v>151</v>
      </c>
      <c r="AV53" s="6" t="s">
        <v>152</v>
      </c>
      <c r="AW53" s="6" t="s">
        <v>153</v>
      </c>
      <c r="AX53" s="6" t="s">
        <v>154</v>
      </c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</row>
    <row r="54" spans="1:102" ht="15" x14ac:dyDescent="0.4">
      <c r="A54" s="4"/>
      <c r="B54" s="5" t="s">
        <v>149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</row>
    <row r="55" spans="1:102" x14ac:dyDescent="0.35">
      <c r="A55">
        <f ca="1">SUM(A22:A30)</f>
        <v>11</v>
      </c>
    </row>
    <row r="56" spans="1:102" x14ac:dyDescent="0.35">
      <c r="A56">
        <f>SUM(A31:A38)*16</f>
        <v>192</v>
      </c>
    </row>
    <row r="57" spans="1:102" x14ac:dyDescent="0.35">
      <c r="A57">
        <f>SUM(A39:A53)</f>
        <v>21</v>
      </c>
    </row>
    <row r="59" spans="1:102" x14ac:dyDescent="0.35">
      <c r="A59">
        <f ca="1">SUM(A55:A57)</f>
        <v>224</v>
      </c>
    </row>
  </sheetData>
  <conditionalFormatting sqref="C2:CX54">
    <cfRule type="containsText" dxfId="4" priority="1" operator="containsText" text="F">
      <formula>NOT(ISERROR(SEARCH("F",C2)))</formula>
    </cfRule>
    <cfRule type="containsText" dxfId="3" priority="2" operator="containsText" text="D">
      <formula>NOT(ISERROR(SEARCH("D",C2)))</formula>
    </cfRule>
    <cfRule type="containsText" dxfId="2" priority="3" operator="containsText" text="E">
      <formula>NOT(ISERROR(SEARCH("E",C2)))</formula>
    </cfRule>
    <cfRule type="containsText" dxfId="1" priority="4" operator="containsText" text="M">
      <formula>NOT(ISERROR(SEARCH("M",C2)))</formula>
    </cfRule>
    <cfRule type="containsText" dxfId="0" priority="5" operator="containsText" text="W">
      <formula>NOT(ISERROR(SEARCH("W",C2)))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Martini  Michela</cp:lastModifiedBy>
  <dcterms:created xsi:type="dcterms:W3CDTF">2025-11-05T23:16:00Z</dcterms:created>
  <dcterms:modified xsi:type="dcterms:W3CDTF">2025-11-06T00:19:40Z</dcterms:modified>
</cp:coreProperties>
</file>